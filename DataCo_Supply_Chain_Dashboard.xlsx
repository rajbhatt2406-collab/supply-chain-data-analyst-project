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Summary" sheetId="2" state="visible" r:id="rId4"/>
    <sheet name="Key 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<sst xmlns="http://schemas.openxmlformats.org/spreadsheetml/2006/main" count="178" uniqueCount="128">
  <si>
    <t xml:space="preserve">  DataCo Supply Chain – Executive Dashboard</t>
  </si>
  <si>
    <t xml:space="preserve">Total Sales
$36.78M</t>
  </si>
  <si>
    <t xml:space="preserve">Total Profit
$3.97M</t>
  </si>
  <si>
    <t xml:space="preserve">Profit Margin
10.8%</t>
  </si>
  <si>
    <t xml:space="preserve">Total Orders
65,752</t>
  </si>
  <si>
    <t xml:space="preserve">Late Delivery Risk
54.8%</t>
  </si>
  <si>
    <t xml:space="preserve">Month</t>
  </si>
  <si>
    <t xml:space="preserve">Sales</t>
  </si>
  <si>
    <t xml:space="preserve">Profit</t>
  </si>
  <si>
    <t xml:space="preserve">Market</t>
  </si>
  <si>
    <t xml:space="preserve">Department</t>
  </si>
  <si>
    <t xml:space="preserve">2015-01</t>
  </si>
  <si>
    <t xml:space="preserve">Europe</t>
  </si>
  <si>
    <t xml:space="preserve">Fan Shop</t>
  </si>
  <si>
    <t xml:space="preserve">2015-02</t>
  </si>
  <si>
    <t xml:space="preserve">LATAM</t>
  </si>
  <si>
    <t xml:space="preserve">Apparel</t>
  </si>
  <si>
    <t xml:space="preserve">2015-03</t>
  </si>
  <si>
    <t xml:space="preserve">Pacific Asia</t>
  </si>
  <si>
    <t xml:space="preserve">Golf</t>
  </si>
  <si>
    <t xml:space="preserve">2015-04</t>
  </si>
  <si>
    <t xml:space="preserve">USCA</t>
  </si>
  <si>
    <t xml:space="preserve">Footwear</t>
  </si>
  <si>
    <t xml:space="preserve">2015-05</t>
  </si>
  <si>
    <t xml:space="preserve">Africa</t>
  </si>
  <si>
    <t xml:space="preserve">Outdoors</t>
  </si>
  <si>
    <t xml:space="preserve">2015-06</t>
  </si>
  <si>
    <t xml:space="preserve">Technology</t>
  </si>
  <si>
    <t xml:space="preserve">2015-07</t>
  </si>
  <si>
    <t xml:space="preserve">Fitness</t>
  </si>
  <si>
    <t xml:space="preserve">2015-08</t>
  </si>
  <si>
    <t xml:space="preserve">Discs Shop</t>
  </si>
  <si>
    <t xml:space="preserve">2015-09</t>
  </si>
  <si>
    <t xml:space="preserve">Health and Beauty </t>
  </si>
  <si>
    <t xml:space="preserve">2015-10</t>
  </si>
  <si>
    <t xml:space="preserve">Pet Shop</t>
  </si>
  <si>
    <t xml:space="preserve">2015-11</t>
  </si>
  <si>
    <t xml:space="preserve">Book Shop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</si>
  <si>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</si>
  <si>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</si>
  <si>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</si>
  <si>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</si>
  <si>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</si>
  <si>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</si>
  <si>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</si>
  <si>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</si>
  <si>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</si>
  <si>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</si>
  <si>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</si>
  <si>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</si>
  <si>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</si>
  <si>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</si>
  <si>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</si>
  <si>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</si>
  <si>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</si>
  <si>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</si>
  <si>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</si>
  <si>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</si>
  <si>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</si>
  <si>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</si>
  <si>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</si>
  <si>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</si>
  <si>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</si>
  <si>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</si>
  <si>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Delivery Status</t>
  </si>
  <si>
    <t xml:space="preserve">Count</t>
  </si>
  <si>
    <t xml:space="preserve">Segment</t>
  </si>
  <si>
    <t xml:space="preserve">Category</t>
  </si>
  <si>
    <t xml:space="preserve">Late delivery</t>
  </si>
  <si>
    <t xml:space="preserve">Consumer</t>
  </si>
  <si>
    <t xml:space="preserve">Fishing</t>
  </si>
  <si>
    <t xml:space="preserve">Advance shipping</t>
  </si>
  <si>
    <t xml:space="preserve">Corporate</t>
  </si>
  <si>
    <t xml:space="preserve">Cleats</t>
  </si>
  <si>
    <t xml:space="preserve">Shipping on time</t>
  </si>
  <si>
    <t xml:space="preserve">Home Office</t>
  </si>
  <si>
    <t xml:space="preserve">Camping &amp; Hiking</t>
  </si>
  <si>
    <t xml:space="preserve">Shipping canceled</t>
  </si>
  <si>
    <t xml:space="preserve">Cardio Equipment</t>
  </si>
  <si>
    <t xml:space="preserve">Women's Apparel</t>
  </si>
  <si>
    <t xml:space="preserve">Water Sports</t>
  </si>
  <si>
    <t xml:space="preserve">Men's Footwear</t>
  </si>
  <si>
    <t xml:space="preserve">Indoor/Outdoor Games</t>
  </si>
  <si>
    <t xml:space="preserve">Shop By Sport</t>
  </si>
  <si>
    <t xml:space="preserve">Computers</t>
  </si>
  <si>
    <t xml:space="preserve">DataCo Supply Chain – Summary Tables</t>
  </si>
  <si>
    <t xml:space="preserve">Sales &amp; Profit by Market</t>
  </si>
  <si>
    <t xml:space="preserve">Sales &amp; Profit by Department</t>
  </si>
  <si>
    <t xml:space="preserve">Top 10 Categories</t>
  </si>
  <si>
    <t xml:space="preserve">Sales ($)</t>
  </si>
  <si>
    <t xml:space="preserve">Profit ($)</t>
  </si>
  <si>
    <t xml:space="preserve">Shipping Mode</t>
  </si>
  <si>
    <t xml:space="preserve">Customer Segment</t>
  </si>
  <si>
    <t xml:space="preserve">Top 10 Regions</t>
  </si>
  <si>
    <t xml:space="preserve">Status</t>
  </si>
  <si>
    <t xml:space="preserve">Mode</t>
  </si>
  <si>
    <t xml:space="preserve">Region</t>
  </si>
  <si>
    <t xml:space="preserve">Standard Class</t>
  </si>
  <si>
    <t xml:space="preserve">Western Europe</t>
  </si>
  <si>
    <t xml:space="preserve">Second Class</t>
  </si>
  <si>
    <t xml:space="preserve">Central America</t>
  </si>
  <si>
    <t xml:space="preserve">First Class</t>
  </si>
  <si>
    <t xml:space="preserve">South America</t>
  </si>
  <si>
    <t xml:space="preserve">Same Day</t>
  </si>
  <si>
    <t xml:space="preserve">Northern Europe</t>
  </si>
  <si>
    <t xml:space="preserve">Southern Europe</t>
  </si>
  <si>
    <t xml:space="preserve">Oceania</t>
  </si>
  <si>
    <t xml:space="preserve">Southeast Asia</t>
  </si>
  <si>
    <t xml:space="preserve">Caribbean</t>
  </si>
  <si>
    <t xml:space="preserve">West of USA </t>
  </si>
  <si>
    <t xml:space="preserve">South Asia</t>
  </si>
  <si>
    <t xml:space="preserve">Key Insights &amp; Recommendations</t>
  </si>
  <si>
    <t xml:space="preserve">Market Performance</t>
  </si>
  <si>
    <t xml:space="preserve">Europe leads sales at $10.9M (29.6%), followed by LATAM at $10.3M (27.9%). Africa lags at $2.3M (6.2%) — a high-growth opportunity region worth targeted investment.</t>
  </si>
  <si>
    <t xml:space="preserve">Department Dominance</t>
  </si>
  <si>
    <t xml:space="preserve">Fan Shop generates $17.1M (46.5% of total sales). Apparel ($8.0M) and Golf ($4.6M) follow. Pet Shop &amp; Book Shop contribute under 0.1% — review profitability.</t>
  </si>
  <si>
    <t xml:space="preserve">Critical: Late Deliveries</t>
  </si>
  <si>
    <t xml:space="preserve">54.8% of all shipments are late (98,977 orders). Only 17.8% ship on time. This is a severe operational risk directly threatening customer retention and brand reputation.</t>
  </si>
  <si>
    <t xml:space="preserve">Shipping Mode Gap</t>
  </si>
  <si>
    <t xml:space="preserve">Standard Class handles 59.7% of orders and has the highest late-delivery exposure. Same Day is only 5.4% of orders. Consider promoting expedited options for high-value customers.</t>
  </si>
  <si>
    <t xml:space="preserve">Top Category: Fishing</t>
  </si>
  <si>
    <t xml:space="preserve">Fishing ($6.9M) is the #1 revenue category — 58% ahead of #2 Cleats ($4.4M). Camping &amp; Hiking ($4.1M) and Cardio Equipment ($3.7M) are strong performers worth further investment.</t>
  </si>
  <si>
    <t xml:space="preserve">Consumer Segment Opportunity</t>
  </si>
  <si>
    <t xml:space="preserve">Consumers drive 51.9% of sales ($19.1M). Corporate accounts ($11.2M) represent an upsell opportunity through volume contracts and loyalty programs. Home Office ($6.5M) is underpenetrated.</t>
  </si>
  <si>
    <t xml:space="preserve">Steady Revenue Base</t>
  </si>
  <si>
    <t xml:space="preserve">Monthly sales hold ~$1.0-1.1M/month from 2016 to mid-2017 — indicating a stable, predictable revenue base. Late 2017 drop likely reflects partial data, not a real business decline.</t>
  </si>
  <si>
    <t xml:space="preserve">Profit Margin at 10.8%</t>
  </si>
  <si>
    <t xml:space="preserve">Overall profit margin is 10.8%. Addressing late delivery penalties, optimizing Standard Class fulfillment, and growing high-margin Fan Shop categories could materially lift margins.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</si>
</sst>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0"/>
      <color rgb="FFFFFF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2A3A"/>
        <bgColor rgb="FF1A2F44"/>
      </patternFill>
    </fill>
    <fill>
      <patternFill patternType="solid">
        <fgColor rgb="FF0D1B2A"/>
        <bgColor rgb="FF1E2A3A"/>
      </patternFill>
    </fill>
    <fill>
      <patternFill patternType="solid">
        <fgColor rgb="FF2DC653"/>
        <bgColor rgb="FF33CCCC"/>
      </patternFill>
    </fill>
    <fill>
      <patternFill patternType="solid">
        <fgColor rgb="FF00B4D8"/>
        <bgColor rgb="FF33CCCC"/>
      </patternFill>
    </fill>
    <fill>
      <patternFill patternType="solid">
        <fgColor rgb="FF0077B6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E63946"/>
        <bgColor rgb="FFC0504D"/>
      </patternFill>
    </fill>
    <fill>
      <patternFill patternType="solid">
        <fgColor rgb="FF243447"/>
        <bgColor rgb="FF1A2F44"/>
      </patternFill>
    </fill>
    <fill>
      <patternFill patternType="solid">
        <fgColor rgb="FF1A2F44"/>
        <bgColor rgb="FF1E2A3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44A5E"/>
      </left>
      <right/>
      <top style="thin">
        <color rgb="FF344A5E"/>
      </top>
      <bottom style="thin">
        <color rgb="FF344A5E"/>
      </bottom>
      <diagonal/>
    </border>
    <border diagonalUp="false" diagonalDown="false">
      <left style="thin">
        <color rgb="FF344A5E"/>
      </left>
      <right style="thin">
        <color rgb="FF344A5E"/>
      </right>
      <top style="thin">
        <color rgb="FF344A5E"/>
      </top>
      <bottom style="thin">
        <color rgb="FF344A5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77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77F00"/>
      <rgbColor rgb="FF8064A2"/>
      <rgbColor rgb="FF969696"/>
      <rgbColor rgb="FF1A2F44"/>
      <rgbColor rgb="FF2DC653"/>
      <rgbColor rgb="FF0D1B2A"/>
      <rgbColor rgb="FF1E2A3A"/>
      <rgbColor rgb="FF993300"/>
      <rgbColor rgb="FFE63946"/>
      <rgbColor rgb="FF344A5E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dc653"/>
            </a:solidFill>
            <a:ln w="20160">
              <a:solidFill>
                <a:srgbClr val="2dc65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Dashboard!$B$7:$B$43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Dashboard!$C$7:$C$43</c:f>
              <c:numCache>
                <c:formatCode>General</c:formatCode>
                <c:ptCount val="37"/>
                <c:pt idx="0">
                  <c:v>1051590.08</c:v>
                </c:pt>
                <c:pt idx="1">
                  <c:v>927009.9</c:v>
                </c:pt>
                <c:pt idx="2">
                  <c:v>1051253.69</c:v>
                </c:pt>
                <c:pt idx="3">
                  <c:v>1014463.28</c:v>
                </c:pt>
                <c:pt idx="4">
                  <c:v>1050478.44</c:v>
                </c:pt>
                <c:pt idx="5">
                  <c:v>1024006.17</c:v>
                </c:pt>
                <c:pt idx="6">
                  <c:v>1038081.19</c:v>
                </c:pt>
                <c:pt idx="7">
                  <c:v>1029494.69</c:v>
                </c:pt>
                <c:pt idx="8">
                  <c:v>1018338.6</c:v>
                </c:pt>
                <c:pt idx="9">
                  <c:v>1049154.27</c:v>
                </c:pt>
                <c:pt idx="10">
                  <c:v>1029120.24</c:v>
                </c:pt>
                <c:pt idx="11">
                  <c:v>1057840.88</c:v>
                </c:pt>
                <c:pt idx="12">
                  <c:v>1046308.25</c:v>
                </c:pt>
                <c:pt idx="13">
                  <c:v>968542.85</c:v>
                </c:pt>
                <c:pt idx="14">
                  <c:v>1025853.12</c:v>
                </c:pt>
                <c:pt idx="15">
                  <c:v>1001211.58</c:v>
                </c:pt>
                <c:pt idx="16">
                  <c:v>1029400.2</c:v>
                </c:pt>
                <c:pt idx="17">
                  <c:v>1003059.55</c:v>
                </c:pt>
                <c:pt idx="18">
                  <c:v>1045715.62</c:v>
                </c:pt>
                <c:pt idx="19">
                  <c:v>1048200.25</c:v>
                </c:pt>
                <c:pt idx="20">
                  <c:v>1002397.04</c:v>
                </c:pt>
                <c:pt idx="21">
                  <c:v>1048130.55</c:v>
                </c:pt>
                <c:pt idx="22">
                  <c:v>1047590.14</c:v>
                </c:pt>
                <c:pt idx="23">
                  <c:v>1037408.17</c:v>
                </c:pt>
                <c:pt idx="24">
                  <c:v>1029698.02</c:v>
                </c:pt>
                <c:pt idx="25">
                  <c:v>992534.9</c:v>
                </c:pt>
                <c:pt idx="26">
                  <c:v>1048004.78</c:v>
                </c:pt>
                <c:pt idx="27">
                  <c:v>1038321.62</c:v>
                </c:pt>
                <c:pt idx="28">
                  <c:v>1105485.32</c:v>
                </c:pt>
                <c:pt idx="29">
                  <c:v>1032086.49</c:v>
                </c:pt>
                <c:pt idx="30">
                  <c:v>1104373.36</c:v>
                </c:pt>
                <c:pt idx="31">
                  <c:v>1109337.17</c:v>
                </c:pt>
                <c:pt idx="32">
                  <c:v>1143775.11</c:v>
                </c:pt>
                <c:pt idx="33">
                  <c:v>1073994.17</c:v>
                </c:pt>
                <c:pt idx="34">
                  <c:v>626914.38</c:v>
                </c:pt>
                <c:pt idx="35">
                  <c:v>503910.82</c:v>
                </c:pt>
                <c:pt idx="36">
                  <c:v>331650.12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4d8"/>
            </a:solidFill>
            <a:ln w="201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Dashboard!$B$7:$B$43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Dashboard!$D$7:$D$43</c:f>
              <c:numCache>
                <c:formatCode>General</c:formatCode>
                <c:ptCount val="37"/>
                <c:pt idx="0">
                  <c:v>111660.74</c:v>
                </c:pt>
                <c:pt idx="1">
                  <c:v>99140.66</c:v>
                </c:pt>
                <c:pt idx="2">
                  <c:v>113778.21</c:v>
                </c:pt>
                <c:pt idx="3">
                  <c:v>108083.68</c:v>
                </c:pt>
                <c:pt idx="4">
                  <c:v>112147.9</c:v>
                </c:pt>
                <c:pt idx="5">
                  <c:v>110147.16</c:v>
                </c:pt>
                <c:pt idx="6">
                  <c:v>115624.06</c:v>
                </c:pt>
                <c:pt idx="7">
                  <c:v>117979.77</c:v>
                </c:pt>
                <c:pt idx="8">
                  <c:v>113467.94</c:v>
                </c:pt>
                <c:pt idx="9">
                  <c:v>101757.87</c:v>
                </c:pt>
                <c:pt idx="10">
                  <c:v>104427.36</c:v>
                </c:pt>
                <c:pt idx="11">
                  <c:v>110641.55</c:v>
                </c:pt>
                <c:pt idx="12">
                  <c:v>106780.95</c:v>
                </c:pt>
                <c:pt idx="13">
                  <c:v>86809.49</c:v>
                </c:pt>
                <c:pt idx="14">
                  <c:v>101259.99</c:v>
                </c:pt>
                <c:pt idx="15">
                  <c:v>114976.62</c:v>
                </c:pt>
                <c:pt idx="16">
                  <c:v>110716.12</c:v>
                </c:pt>
                <c:pt idx="17">
                  <c:v>104196.07</c:v>
                </c:pt>
                <c:pt idx="18">
                  <c:v>119941.72</c:v>
                </c:pt>
                <c:pt idx="19">
                  <c:v>110729.54</c:v>
                </c:pt>
                <c:pt idx="20">
                  <c:v>123384.71</c:v>
                </c:pt>
                <c:pt idx="21">
                  <c:v>116781.97</c:v>
                </c:pt>
                <c:pt idx="22">
                  <c:v>109539.2</c:v>
                </c:pt>
                <c:pt idx="23">
                  <c:v>105002.69</c:v>
                </c:pt>
                <c:pt idx="24">
                  <c:v>114843.85</c:v>
                </c:pt>
                <c:pt idx="25">
                  <c:v>115111.07</c:v>
                </c:pt>
                <c:pt idx="26">
                  <c:v>118688.9</c:v>
                </c:pt>
                <c:pt idx="27">
                  <c:v>115961.06</c:v>
                </c:pt>
                <c:pt idx="28">
                  <c:v>115014.64</c:v>
                </c:pt>
                <c:pt idx="29">
                  <c:v>110399.29</c:v>
                </c:pt>
                <c:pt idx="30">
                  <c:v>113026.7</c:v>
                </c:pt>
                <c:pt idx="31">
                  <c:v>131501.16</c:v>
                </c:pt>
                <c:pt idx="32">
                  <c:v>122462.39</c:v>
                </c:pt>
                <c:pt idx="33">
                  <c:v>113447.17</c:v>
                </c:pt>
                <c:pt idx="34">
                  <c:v>67791.25</c:v>
                </c:pt>
                <c:pt idx="35">
                  <c:v>65837.63</c:v>
                </c:pt>
                <c:pt idx="36">
                  <c:v>33841.89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350701"/>
        <c:axId val="91132286"/>
      </c:lineChart>
      <c:catAx>
        <c:axId val="423507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32286"/>
        <c:crosses val="autoZero"/>
        <c:auto val="1"/>
        <c:lblAlgn val="ctr"/>
        <c:lblOffset val="100"/>
        <c:noMultiLvlLbl val="0"/>
      </c:catAx>
      <c:valAx>
        <c:axId val="91132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50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Dashboard!$F$7:$F$11</c:f>
              <c:strCache>
                <c:ptCount val="5"/>
                <c:pt idx="0">
                  <c:v>Europe</c:v>
                </c:pt>
                <c:pt idx="1">
                  <c:v>LATAM</c:v>
                </c:pt>
                <c:pt idx="2">
                  <c:v>Pacific Asia</c:v>
                </c:pt>
                <c:pt idx="3">
                  <c:v>USCA</c:v>
                </c:pt>
                <c:pt idx="4">
                  <c:v>Africa</c:v>
                </c:pt>
              </c:strCache>
            </c:strRef>
          </c:cat>
          <c:val>
            <c:numRef>
              <c:f>Dashboard!$G$7:$G$11</c:f>
              <c:numCache>
                <c:formatCode>General</c:formatCode>
                <c:ptCount val="5"/>
                <c:pt idx="0">
                  <c:v>10872396.8</c:v>
                </c:pt>
                <c:pt idx="1">
                  <c:v>10277612.84</c:v>
                </c:pt>
                <c:pt idx="2">
                  <c:v>8273743.74</c:v>
                </c:pt>
                <c:pt idx="3">
                  <c:v>5066528.71</c:v>
                </c:pt>
                <c:pt idx="4">
                  <c:v>2294452.93</c:v>
                </c:pt>
              </c:numCache>
            </c:numRef>
          </c:val>
        </c:ser>
        <c:gapWidth val="150"/>
        <c:overlap val="0"/>
        <c:axId val="98877756"/>
        <c:axId val="65848930"/>
      </c:barChart>
      <c:catAx>
        <c:axId val="98877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48930"/>
        <c:crosses val="autoZero"/>
        <c:auto val="1"/>
        <c:lblAlgn val="ctr"/>
        <c:lblOffset val="100"/>
        <c:noMultiLvlLbl val="0"/>
      </c:catAx>
      <c:valAx>
        <c:axId val="65848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77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77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Dashboard!$J$7:$J$17</c:f>
              <c:strCache>
                <c:ptCount val="11"/>
                <c:pt idx="0">
                  <c:v>Fan Shop</c:v>
                </c:pt>
                <c:pt idx="1">
                  <c:v>Apparel</c:v>
                </c:pt>
                <c:pt idx="2">
                  <c:v>Golf</c:v>
                </c:pt>
                <c:pt idx="3">
                  <c:v>Footwear</c:v>
                </c:pt>
                <c:pt idx="4">
                  <c:v>Outdoors</c:v>
                </c:pt>
                <c:pt idx="5">
                  <c:v>Technology</c:v>
                </c:pt>
                <c:pt idx="6">
                  <c:v>Fitness</c:v>
                </c:pt>
                <c:pt idx="7">
                  <c:v>Discs Shop</c:v>
                </c:pt>
                <c:pt idx="8">
                  <c:v>Health and Beauty </c:v>
                </c:pt>
                <c:pt idx="9">
                  <c:v>Pet Shop</c:v>
                </c:pt>
                <c:pt idx="10">
                  <c:v>Book Shop</c:v>
                </c:pt>
              </c:strCache>
            </c:strRef>
          </c:cat>
          <c:val>
            <c:numRef>
              <c:f>Dashboard!$K$7:$K$17</c:f>
              <c:numCache>
                <c:formatCode>General</c:formatCode>
                <c:ptCount val="11"/>
                <c:pt idx="0">
                  <c:v>17113870.94</c:v>
                </c:pt>
                <c:pt idx="1">
                  <c:v>7976255.34</c:v>
                </c:pt>
                <c:pt idx="2">
                  <c:v>4609028.24</c:v>
                </c:pt>
                <c:pt idx="3">
                  <c:v>4006498.77</c:v>
                </c:pt>
                <c:pt idx="4">
                  <c:v>1253351.45</c:v>
                </c:pt>
                <c:pt idx="5">
                  <c:v>1039598.97</c:v>
                </c:pt>
                <c:pt idx="6">
                  <c:v>397050.89</c:v>
                </c:pt>
                <c:pt idx="7">
                  <c:v>228887.73</c:v>
                </c:pt>
                <c:pt idx="8">
                  <c:v>106080.48</c:v>
                </c:pt>
                <c:pt idx="9">
                  <c:v>41524.8</c:v>
                </c:pt>
                <c:pt idx="10">
                  <c:v>12587.4</c:v>
                </c:pt>
              </c:numCache>
            </c:numRef>
          </c:val>
        </c:ser>
        <c:gapWidth val="150"/>
        <c:overlap val="0"/>
        <c:axId val="37127642"/>
        <c:axId val="40690939"/>
      </c:barChart>
      <c:catAx>
        <c:axId val="371276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90939"/>
        <c:crosses val="autoZero"/>
        <c:auto val="1"/>
        <c:lblAlgn val="ctr"/>
        <c:lblOffset val="100"/>
        <c:noMultiLvlLbl val="0"/>
      </c:catAx>
      <c:valAx>
        <c:axId val="40690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27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Dashboard!C55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Dashboard!$B$56:$B$59</c:f>
              <c:strCache>
                <c:ptCount val="4"/>
                <c:pt idx="0">
                  <c:v>Late delivery</c:v>
                </c:pt>
                <c:pt idx="1">
                  <c:v>Advance shipping</c:v>
                </c:pt>
                <c:pt idx="2">
                  <c:v>Shipping on time</c:v>
                </c:pt>
                <c:pt idx="3">
                  <c:v>Shipping canceled</c:v>
                </c:pt>
              </c:strCache>
            </c:strRef>
          </c:cat>
          <c:val>
            <c:numRef>
              <c:f>Dashboard!$C$56:$C$59</c:f>
              <c:numCache>
                <c:formatCode>General</c:formatCode>
                <c:ptCount val="4"/>
                <c:pt idx="0">
                  <c:v>98977</c:v>
                </c:pt>
                <c:pt idx="1">
                  <c:v>41592</c:v>
                </c:pt>
                <c:pt idx="2">
                  <c:v>32196</c:v>
                </c:pt>
                <c:pt idx="3">
                  <c:v>7754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Dashboard!G55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dc6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Dashboard!$F$56:$F$58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Dashboard!$G$56:$G$58</c:f>
              <c:numCache>
                <c:formatCode>General</c:formatCode>
                <c:ptCount val="3"/>
                <c:pt idx="0">
                  <c:v>19095790.16</c:v>
                </c:pt>
                <c:pt idx="1">
                  <c:v>11168406.84</c:v>
                </c:pt>
                <c:pt idx="2">
                  <c:v>6520538.02</c:v>
                </c:pt>
              </c:numCache>
            </c:numRef>
          </c:val>
        </c:ser>
        <c:gapWidth val="150"/>
        <c:overlap val="0"/>
        <c:axId val="95291292"/>
        <c:axId val="95303434"/>
      </c:barChart>
      <c:catAx>
        <c:axId val="95291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03434"/>
        <c:crosses val="autoZero"/>
        <c:auto val="1"/>
        <c:lblAlgn val="ctr"/>
        <c:lblOffset val="100"/>
        <c:noMultiLvlLbl val="0"/>
      </c:catAx>
      <c:valAx>
        <c:axId val="95303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91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Dashboard!K55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639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Dashboard!$J$56:$J$65</c:f>
              <c:strCache>
                <c:ptCount val="10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  <c:pt idx="7">
                  <c:v>Indoor/Outdoor Games</c:v>
                </c:pt>
                <c:pt idx="8">
                  <c:v>Shop By Sport</c:v>
                </c:pt>
                <c:pt idx="9">
                  <c:v>Computers</c:v>
                </c:pt>
              </c:strCache>
            </c:strRef>
          </c:cat>
          <c:val>
            <c:numRef>
              <c:f>Dashboard!$K$56:$K$65</c:f>
              <c:numCache>
                <c:formatCode>General</c:formatCode>
                <c:ptCount val="10"/>
                <c:pt idx="0">
                  <c:v>6929653.69</c:v>
                </c:pt>
                <c:pt idx="1">
                  <c:v>4431942.78</c:v>
                </c:pt>
                <c:pt idx="2">
                  <c:v>4118425.57</c:v>
                </c:pt>
                <c:pt idx="3">
                  <c:v>3694843.2</c:v>
                </c:pt>
                <c:pt idx="4">
                  <c:v>3147800</c:v>
                </c:pt>
                <c:pt idx="5">
                  <c:v>3113844.68</c:v>
                </c:pt>
                <c:pt idx="6">
                  <c:v>2891757.66</c:v>
                </c:pt>
                <c:pt idx="7">
                  <c:v>2888993.91</c:v>
                </c:pt>
                <c:pt idx="8">
                  <c:v>1309522.04</c:v>
                </c:pt>
                <c:pt idx="9">
                  <c:v>663000</c:v>
                </c:pt>
              </c:numCache>
            </c:numRef>
          </c:val>
        </c:ser>
        <c:gapWidth val="150"/>
        <c:overlap val="0"/>
        <c:axId val="15602620"/>
        <c:axId val="7450579"/>
      </c:barChart>
      <c:catAx>
        <c:axId val="15602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0579"/>
        <c:crosses val="autoZero"/>
        <c:auto val="1"/>
        <c:lblAlgn val="ctr"/>
        <c:lblOffset val="100"/>
        <c:noMultiLvlLbl val="0"/>
      </c:catAx>
      <c:valAx>
        <c:axId val="7450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026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840960</xdr:colOff>
      <xdr:row>30</xdr:row>
      <xdr:rowOff>128520</xdr:rowOff>
    </xdr:to>
    <xdr:graphicFrame>
      <xdr:nvGraphicFramePr>
        <xdr:cNvPr id="0" name="Chart 1"/>
        <xdr:cNvGraphicFramePr/>
      </xdr:nvGraphicFramePr>
      <xdr:xfrm>
        <a:off x="141120" y="21240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8</xdr:col>
      <xdr:colOff>936360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4651920" y="21240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15</xdr:col>
      <xdr:colOff>88560</xdr:colOff>
      <xdr:row>26</xdr:row>
      <xdr:rowOff>170640</xdr:rowOff>
    </xdr:to>
    <xdr:graphicFrame>
      <xdr:nvGraphicFramePr>
        <xdr:cNvPr id="2" name="Chart 3"/>
        <xdr:cNvGraphicFramePr/>
      </xdr:nvGraphicFramePr>
      <xdr:xfrm>
        <a:off x="9163080" y="21240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216360</xdr:colOff>
      <xdr:row>64</xdr:row>
      <xdr:rowOff>77400</xdr:rowOff>
    </xdr:to>
    <xdr:graphicFrame>
      <xdr:nvGraphicFramePr>
        <xdr:cNvPr id="3" name="Chart 4"/>
        <xdr:cNvGraphicFramePr/>
      </xdr:nvGraphicFramePr>
      <xdr:xfrm>
        <a:off x="141120" y="9363240"/>
        <a:ext cx="35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936360</xdr:colOff>
      <xdr:row>64</xdr:row>
      <xdr:rowOff>77400</xdr:rowOff>
    </xdr:to>
    <xdr:graphicFrame>
      <xdr:nvGraphicFramePr>
        <xdr:cNvPr id="4" name="Chart 5"/>
        <xdr:cNvGraphicFramePr/>
      </xdr:nvGraphicFramePr>
      <xdr:xfrm>
        <a:off x="4651920" y="93632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16</xdr:col>
      <xdr:colOff>197280</xdr:colOff>
      <xdr:row>64</xdr:row>
      <xdr:rowOff>77400</xdr:rowOff>
    </xdr:to>
    <xdr:graphicFrame>
      <xdr:nvGraphicFramePr>
        <xdr:cNvPr id="5" name="Chart 6"/>
        <xdr:cNvGraphicFramePr/>
      </xdr:nvGraphicFramePr>
      <xdr:xfrm>
        <a:off x="9163080" y="93632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O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6"/>
    <col collapsed="false" customWidth="true" hidden="false" outlineLevel="0" max="12" min="12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48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51.75" hidden="false" customHeight="true" outlineLevel="0" collapsed="false">
      <c r="A4" s="1"/>
      <c r="B4" s="3" t="s">
        <v>1</v>
      </c>
      <c r="C4" s="3"/>
      <c r="D4" s="4" t="s">
        <v>2</v>
      </c>
      <c r="E4" s="4"/>
      <c r="F4" s="5" t="s">
        <v>3</v>
      </c>
      <c r="G4" s="5"/>
      <c r="H4" s="6" t="s">
        <v>4</v>
      </c>
      <c r="I4" s="6"/>
      <c r="J4" s="7" t="s">
        <v>5</v>
      </c>
      <c r="K4" s="7"/>
      <c r="L4" s="1"/>
      <c r="M4" s="1"/>
      <c r="N4" s="1"/>
      <c r="O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8" t="s">
        <v>6</v>
      </c>
      <c r="C6" s="8" t="s">
        <v>7</v>
      </c>
      <c r="D6" s="8" t="s">
        <v>8</v>
      </c>
      <c r="E6" s="1"/>
      <c r="F6" s="8" t="s">
        <v>9</v>
      </c>
      <c r="G6" s="8" t="s">
        <v>7</v>
      </c>
      <c r="H6" s="8" t="s">
        <v>8</v>
      </c>
      <c r="I6" s="1"/>
      <c r="J6" s="8" t="s">
        <v>10</v>
      </c>
      <c r="K6" s="8" t="s">
        <v>7</v>
      </c>
      <c r="L6" s="1"/>
      <c r="M6" s="1"/>
      <c r="N6" s="1"/>
      <c r="O6" s="1"/>
    </row>
    <row r="7" customFormat="false" ht="15" hidden="false" customHeight="false" outlineLevel="0" collapsed="false">
      <c r="A7" s="1"/>
      <c r="B7" s="9" t="s">
        <v>11</v>
      </c>
      <c r="C7" s="9" t="n">
        <v>1051590.08</v>
      </c>
      <c r="D7" s="9" t="n">
        <v>111660.74</v>
      </c>
      <c r="E7" s="1"/>
      <c r="F7" s="9" t="s">
        <v>12</v>
      </c>
      <c r="G7" s="9" t="n">
        <v>10872396.8</v>
      </c>
      <c r="H7" s="9" t="n">
        <v>1169442.96</v>
      </c>
      <c r="I7" s="1"/>
      <c r="J7" s="9" t="s">
        <v>13</v>
      </c>
      <c r="K7" s="9" t="n">
        <v>17113870.94</v>
      </c>
      <c r="L7" s="1"/>
      <c r="M7" s="1"/>
      <c r="N7" s="1"/>
      <c r="O7" s="1"/>
    </row>
    <row r="8" customFormat="false" ht="15" hidden="false" customHeight="false" outlineLevel="0" collapsed="false">
      <c r="A8" s="1"/>
      <c r="B8" s="9" t="s">
        <v>14</v>
      </c>
      <c r="C8" s="9" t="n">
        <v>927009.9</v>
      </c>
      <c r="D8" s="9" t="n">
        <v>99140.66</v>
      </c>
      <c r="E8" s="1"/>
      <c r="F8" s="9" t="s">
        <v>15</v>
      </c>
      <c r="G8" s="9" t="n">
        <v>10277612.84</v>
      </c>
      <c r="H8" s="9" t="n">
        <v>1123321.61</v>
      </c>
      <c r="I8" s="1"/>
      <c r="J8" s="9" t="s">
        <v>16</v>
      </c>
      <c r="K8" s="9" t="n">
        <v>7976255.34</v>
      </c>
      <c r="L8" s="1"/>
      <c r="M8" s="1"/>
      <c r="N8" s="1"/>
      <c r="O8" s="1"/>
    </row>
    <row r="9" customFormat="false" ht="15" hidden="false" customHeight="false" outlineLevel="0" collapsed="false">
      <c r="A9" s="1"/>
      <c r="B9" s="9" t="s">
        <v>17</v>
      </c>
      <c r="C9" s="9" t="n">
        <v>1051253.69</v>
      </c>
      <c r="D9" s="9" t="n">
        <v>113778.21</v>
      </c>
      <c r="E9" s="1"/>
      <c r="F9" s="9" t="s">
        <v>18</v>
      </c>
      <c r="G9" s="9" t="n">
        <v>8273743.74</v>
      </c>
      <c r="H9" s="9" t="n">
        <v>857753.44</v>
      </c>
      <c r="I9" s="1"/>
      <c r="J9" s="9" t="s">
        <v>19</v>
      </c>
      <c r="K9" s="9" t="n">
        <v>4609028.24</v>
      </c>
      <c r="L9" s="1"/>
      <c r="M9" s="1"/>
      <c r="N9" s="1"/>
      <c r="O9" s="1"/>
    </row>
    <row r="10" customFormat="false" ht="15" hidden="false" customHeight="false" outlineLevel="0" collapsed="false">
      <c r="A10" s="1"/>
      <c r="B10" s="9" t="s">
        <v>20</v>
      </c>
      <c r="C10" s="9" t="n">
        <v>1014463.28</v>
      </c>
      <c r="D10" s="9" t="n">
        <v>108083.68</v>
      </c>
      <c r="E10" s="1"/>
      <c r="F10" s="9" t="s">
        <v>21</v>
      </c>
      <c r="G10" s="9" t="n">
        <v>5066528.71</v>
      </c>
      <c r="H10" s="9" t="n">
        <v>564313.78</v>
      </c>
      <c r="I10" s="1"/>
      <c r="J10" s="9" t="s">
        <v>22</v>
      </c>
      <c r="K10" s="9" t="n">
        <v>4006498.77</v>
      </c>
      <c r="L10" s="1"/>
      <c r="M10" s="1"/>
      <c r="N10" s="1"/>
      <c r="O10" s="1"/>
    </row>
    <row r="11" customFormat="false" ht="15" hidden="false" customHeight="false" outlineLevel="0" collapsed="false">
      <c r="A11" s="1"/>
      <c r="B11" s="9" t="s">
        <v>23</v>
      </c>
      <c r="C11" s="9" t="n">
        <v>1050478.44</v>
      </c>
      <c r="D11" s="9" t="n">
        <v>112147.9</v>
      </c>
      <c r="E11" s="1"/>
      <c r="F11" s="9" t="s">
        <v>24</v>
      </c>
      <c r="G11" s="9" t="n">
        <v>2294452.93</v>
      </c>
      <c r="H11" s="9" t="n">
        <v>252071.18</v>
      </c>
      <c r="I11" s="1"/>
      <c r="J11" s="9" t="s">
        <v>25</v>
      </c>
      <c r="K11" s="9" t="n">
        <v>1253351.45</v>
      </c>
      <c r="L11" s="1"/>
      <c r="M11" s="1"/>
      <c r="N11" s="1"/>
      <c r="O11" s="1"/>
    </row>
    <row r="12" customFormat="false" ht="15" hidden="false" customHeight="false" outlineLevel="0" collapsed="false">
      <c r="A12" s="1"/>
      <c r="B12" s="9" t="s">
        <v>26</v>
      </c>
      <c r="C12" s="9" t="n">
        <v>1024006.17</v>
      </c>
      <c r="D12" s="9" t="n">
        <v>110147.16</v>
      </c>
      <c r="E12" s="1"/>
      <c r="F12" s="1"/>
      <c r="G12" s="1"/>
      <c r="H12" s="1"/>
      <c r="I12" s="1"/>
      <c r="J12" s="9" t="s">
        <v>27</v>
      </c>
      <c r="K12" s="9" t="n">
        <v>1039598.97</v>
      </c>
      <c r="L12" s="1"/>
      <c r="M12" s="1"/>
      <c r="N12" s="1"/>
      <c r="O12" s="1"/>
    </row>
    <row r="13" customFormat="false" ht="15" hidden="false" customHeight="false" outlineLevel="0" collapsed="false">
      <c r="A13" s="1"/>
      <c r="B13" s="9" t="s">
        <v>28</v>
      </c>
      <c r="C13" s="9" t="n">
        <v>1038081.19</v>
      </c>
      <c r="D13" s="9" t="n">
        <v>115624.06</v>
      </c>
      <c r="E13" s="1"/>
      <c r="F13" s="1"/>
      <c r="G13" s="1"/>
      <c r="H13" s="1"/>
      <c r="I13" s="1"/>
      <c r="J13" s="9" t="s">
        <v>29</v>
      </c>
      <c r="K13" s="9" t="n">
        <v>397050.89</v>
      </c>
      <c r="L13" s="1"/>
      <c r="M13" s="1"/>
      <c r="N13" s="1"/>
      <c r="O13" s="1"/>
    </row>
    <row r="14" customFormat="false" ht="15" hidden="false" customHeight="false" outlineLevel="0" collapsed="false">
      <c r="A14" s="1"/>
      <c r="B14" s="9" t="s">
        <v>30</v>
      </c>
      <c r="C14" s="9" t="n">
        <v>1029494.69</v>
      </c>
      <c r="D14" s="9" t="n">
        <v>117979.77</v>
      </c>
      <c r="E14" s="1"/>
      <c r="F14" s="1"/>
      <c r="G14" s="1"/>
      <c r="H14" s="1"/>
      <c r="I14" s="1"/>
      <c r="J14" s="9" t="s">
        <v>31</v>
      </c>
      <c r="K14" s="9" t="n">
        <v>228887.73</v>
      </c>
      <c r="L14" s="1"/>
      <c r="M14" s="1"/>
      <c r="N14" s="1"/>
      <c r="O14" s="1"/>
    </row>
    <row r="15" customFormat="false" ht="15" hidden="false" customHeight="false" outlineLevel="0" collapsed="false">
      <c r="A15" s="1"/>
      <c r="B15" s="9" t="s">
        <v>32</v>
      </c>
      <c r="C15" s="9" t="n">
        <v>1018338.6</v>
      </c>
      <c r="D15" s="9" t="n">
        <v>113467.94</v>
      </c>
      <c r="E15" s="1"/>
      <c r="F15" s="1"/>
      <c r="G15" s="1"/>
      <c r="H15" s="1"/>
      <c r="I15" s="1"/>
      <c r="J15" s="9" t="s">
        <v>33</v>
      </c>
      <c r="K15" s="9" t="n">
        <v>106080.48</v>
      </c>
      <c r="L15" s="1"/>
      <c r="M15" s="1"/>
      <c r="N15" s="1"/>
      <c r="O15" s="1"/>
    </row>
    <row r="16" customFormat="false" ht="15" hidden="false" customHeight="false" outlineLevel="0" collapsed="false">
      <c r="A16" s="1"/>
      <c r="B16" s="9" t="s">
        <v>34</v>
      </c>
      <c r="C16" s="9" t="n">
        <v>1049154.27</v>
      </c>
      <c r="D16" s="9" t="n">
        <v>101757.87</v>
      </c>
      <c r="E16" s="1"/>
      <c r="F16" s="1"/>
      <c r="G16" s="1"/>
      <c r="H16" s="1"/>
      <c r="I16" s="1"/>
      <c r="J16" s="9" t="s">
        <v>35</v>
      </c>
      <c r="K16" s="9" t="n">
        <v>41524.8</v>
      </c>
      <c r="L16" s="1"/>
      <c r="M16" s="1"/>
      <c r="N16" s="1"/>
      <c r="O16" s="1"/>
    </row>
    <row r="17" customFormat="false" ht="15" hidden="false" customHeight="false" outlineLevel="0" collapsed="false">
      <c r="A17" s="1"/>
      <c r="B17" s="9" t="s">
        <v>36</v>
      </c>
      <c r="C17" s="9" t="n">
        <v>1029120.24</v>
      </c>
      <c r="D17" s="9" t="n">
        <v>104427.36</v>
      </c>
      <c r="E17" s="1"/>
      <c r="F17" s="1"/>
      <c r="G17" s="1"/>
      <c r="H17" s="1"/>
      <c r="I17" s="1"/>
      <c r="J17" s="9" t="s">
        <v>37</v>
      </c>
      <c r="K17" s="9" t="n">
        <v>12587.4</v>
      </c>
      <c r="L17" s="1"/>
      <c r="M17" s="1"/>
      <c r="N17" s="1"/>
      <c r="O17" s="1"/>
    </row>
    <row r="18" customFormat="false" ht="15" hidden="false" customHeight="false" outlineLevel="0" collapsed="false">
      <c r="A18" s="1"/>
      <c r="B18" s="9" t="s">
        <v>38</v>
      </c>
      <c r="C18" s="9" t="n">
        <v>1057840.88</v>
      </c>
      <c r="D18" s="9" t="n">
        <v>110641.55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9" t="s">
        <v>39</v>
      </c>
      <c r="C19" s="9" t="n">
        <v>1046308.25</v>
      </c>
      <c r="D19" s="9" t="n">
        <v>106780.95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9" t="s">
        <v>40</v>
      </c>
      <c r="C20" s="9" t="n">
        <v>968542.85</v>
      </c>
      <c r="D20" s="9" t="n">
        <v>86809.49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9" t="s">
        <v>41</v>
      </c>
      <c r="C21" s="9" t="n">
        <v>1025853.12</v>
      </c>
      <c r="D21" s="9" t="n">
        <v>101259.99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9" t="s">
        <v>42</v>
      </c>
      <c r="C22" s="9" t="n">
        <v>1001211.58</v>
      </c>
      <c r="D22" s="9" t="n">
        <v>114976.62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9" t="s">
        <v>43</v>
      </c>
      <c r="C23" s="9" t="n">
        <v>1029400.2</v>
      </c>
      <c r="D23" s="9" t="n">
        <v>110716.12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9" t="s">
        <v>44</v>
      </c>
      <c r="C24" s="9" t="n">
        <v>1003059.55</v>
      </c>
      <c r="D24" s="9" t="n">
        <v>104196.07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9" t="s">
        <v>45</v>
      </c>
      <c r="C25" s="9" t="n">
        <v>1045715.62</v>
      </c>
      <c r="D25" s="9" t="n">
        <v>119941.72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9" t="s">
        <v>46</v>
      </c>
      <c r="C26" s="9" t="n">
        <v>1048200.25</v>
      </c>
      <c r="D26" s="9" t="n">
        <v>110729.54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9" t="s">
        <v>47</v>
      </c>
      <c r="C27" s="9" t="n">
        <v>1002397.04</v>
      </c>
      <c r="D27" s="9" t="n">
        <v>123384.71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9" t="s">
        <v>48</v>
      </c>
      <c r="C28" s="9" t="n">
        <v>1048130.55</v>
      </c>
      <c r="D28" s="9" t="n">
        <v>116781.97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9" t="s">
        <v>49</v>
      </c>
      <c r="C29" s="9" t="n">
        <v>1047590.14</v>
      </c>
      <c r="D29" s="9" t="n">
        <v>109539.2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9" t="s">
        <v>50</v>
      </c>
      <c r="C30" s="9" t="n">
        <v>1037408.17</v>
      </c>
      <c r="D30" s="9" t="n">
        <v>105002.69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9" t="s">
        <v>51</v>
      </c>
      <c r="C31" s="9" t="n">
        <v>1029698.02</v>
      </c>
      <c r="D31" s="9" t="n">
        <v>114843.85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9" t="s">
        <v>52</v>
      </c>
      <c r="C32" s="9" t="n">
        <v>992534.9</v>
      </c>
      <c r="D32" s="9" t="n">
        <v>115111.07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9" t="s">
        <v>53</v>
      </c>
      <c r="C33" s="9" t="n">
        <v>1048004.78</v>
      </c>
      <c r="D33" s="9" t="n">
        <v>118688.9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9" t="s">
        <v>54</v>
      </c>
      <c r="C34" s="9" t="n">
        <v>1038321.62</v>
      </c>
      <c r="D34" s="9" t="n">
        <v>115961.06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9" t="s">
        <v>55</v>
      </c>
      <c r="C35" s="9" t="n">
        <v>1105485.32</v>
      </c>
      <c r="D35" s="9" t="n">
        <v>115014.64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9" t="s">
        <v>56</v>
      </c>
      <c r="C36" s="9" t="n">
        <v>1032086.49</v>
      </c>
      <c r="D36" s="9" t="n">
        <v>110399.29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9" t="s">
        <v>57</v>
      </c>
      <c r="C37" s="9" t="n">
        <v>1104373.36</v>
      </c>
      <c r="D37" s="9" t="n">
        <v>113026.7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9" t="s">
        <v>58</v>
      </c>
      <c r="C38" s="9" t="n">
        <v>1109337.17</v>
      </c>
      <c r="D38" s="9" t="n">
        <v>131501.16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9" t="s">
        <v>59</v>
      </c>
      <c r="C39" s="9" t="n">
        <v>1143775.11</v>
      </c>
      <c r="D39" s="9" t="n">
        <v>122462.39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9" t="s">
        <v>60</v>
      </c>
      <c r="C40" s="9" t="n">
        <v>1073994.17</v>
      </c>
      <c r="D40" s="9" t="n">
        <v>113447.17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9" t="s">
        <v>61</v>
      </c>
      <c r="C41" s="9" t="n">
        <v>626914.38</v>
      </c>
      <c r="D41" s="9" t="n">
        <v>67791.25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9" t="s">
        <v>62</v>
      </c>
      <c r="C42" s="9" t="n">
        <v>503910.82</v>
      </c>
      <c r="D42" s="9" t="n">
        <v>65837.63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9" t="s">
        <v>63</v>
      </c>
      <c r="C43" s="9" t="n">
        <v>331650.12</v>
      </c>
      <c r="D43" s="9" t="n">
        <v>33841.89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8" t="s">
        <v>64</v>
      </c>
      <c r="C55" s="8" t="s">
        <v>65</v>
      </c>
      <c r="D55" s="1"/>
      <c r="E55" s="1"/>
      <c r="F55" s="8" t="s">
        <v>66</v>
      </c>
      <c r="G55" s="8" t="s">
        <v>7</v>
      </c>
      <c r="H55" s="1"/>
      <c r="I55" s="1"/>
      <c r="J55" s="8" t="s">
        <v>67</v>
      </c>
      <c r="K55" s="8" t="s">
        <v>7</v>
      </c>
      <c r="L55" s="1"/>
      <c r="M55" s="1"/>
      <c r="N55" s="1"/>
      <c r="O55" s="1"/>
    </row>
    <row r="56" customFormat="false" ht="15" hidden="false" customHeight="false" outlineLevel="0" collapsed="false">
      <c r="A56" s="1"/>
      <c r="B56" s="9" t="s">
        <v>68</v>
      </c>
      <c r="C56" s="9" t="n">
        <v>98977</v>
      </c>
      <c r="D56" s="1"/>
      <c r="E56" s="1"/>
      <c r="F56" s="9" t="s">
        <v>69</v>
      </c>
      <c r="G56" s="9" t="n">
        <v>19095790.16</v>
      </c>
      <c r="H56" s="1"/>
      <c r="I56" s="1"/>
      <c r="J56" s="9" t="s">
        <v>70</v>
      </c>
      <c r="K56" s="9" t="n">
        <v>6929653.69</v>
      </c>
      <c r="L56" s="1"/>
      <c r="M56" s="1"/>
      <c r="N56" s="1"/>
      <c r="O56" s="1"/>
    </row>
    <row r="57" customFormat="false" ht="15" hidden="false" customHeight="false" outlineLevel="0" collapsed="false">
      <c r="A57" s="1"/>
      <c r="B57" s="9" t="s">
        <v>71</v>
      </c>
      <c r="C57" s="9" t="n">
        <v>41592</v>
      </c>
      <c r="D57" s="1"/>
      <c r="E57" s="1"/>
      <c r="F57" s="9" t="s">
        <v>72</v>
      </c>
      <c r="G57" s="9" t="n">
        <v>11168406.84</v>
      </c>
      <c r="H57" s="1"/>
      <c r="I57" s="1"/>
      <c r="J57" s="9" t="s">
        <v>73</v>
      </c>
      <c r="K57" s="9" t="n">
        <v>4431942.78</v>
      </c>
      <c r="L57" s="1"/>
      <c r="M57" s="1"/>
      <c r="N57" s="1"/>
      <c r="O57" s="1"/>
    </row>
    <row r="58" customFormat="false" ht="15" hidden="false" customHeight="false" outlineLevel="0" collapsed="false">
      <c r="A58" s="1"/>
      <c r="B58" s="9" t="s">
        <v>74</v>
      </c>
      <c r="C58" s="9" t="n">
        <v>32196</v>
      </c>
      <c r="D58" s="1"/>
      <c r="E58" s="1"/>
      <c r="F58" s="9" t="s">
        <v>75</v>
      </c>
      <c r="G58" s="9" t="n">
        <v>6520538.02</v>
      </c>
      <c r="H58" s="1"/>
      <c r="I58" s="1"/>
      <c r="J58" s="9" t="s">
        <v>76</v>
      </c>
      <c r="K58" s="9" t="n">
        <v>4118425.57</v>
      </c>
      <c r="L58" s="1"/>
      <c r="M58" s="1"/>
      <c r="N58" s="1"/>
      <c r="O58" s="1"/>
    </row>
    <row r="59" customFormat="false" ht="15" hidden="false" customHeight="false" outlineLevel="0" collapsed="false">
      <c r="A59" s="1"/>
      <c r="B59" s="9" t="s">
        <v>77</v>
      </c>
      <c r="C59" s="9" t="n">
        <v>7754</v>
      </c>
      <c r="D59" s="1"/>
      <c r="E59" s="1"/>
      <c r="F59" s="1"/>
      <c r="G59" s="1"/>
      <c r="H59" s="1"/>
      <c r="I59" s="1"/>
      <c r="J59" s="9" t="s">
        <v>78</v>
      </c>
      <c r="K59" s="9" t="n">
        <v>3694843.2</v>
      </c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9" t="s">
        <v>79</v>
      </c>
      <c r="K60" s="9" t="n">
        <v>3147800</v>
      </c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9" t="s">
        <v>80</v>
      </c>
      <c r="K61" s="9" t="n">
        <v>3113844.68</v>
      </c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9" t="s">
        <v>81</v>
      </c>
      <c r="K62" s="9" t="n">
        <v>2891757.66</v>
      </c>
      <c r="L62" s="1"/>
      <c r="M62" s="1"/>
      <c r="N62" s="1"/>
      <c r="O62" s="1"/>
    </row>
    <row r="63" customFormat="false" ht="22.3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9" t="s">
        <v>82</v>
      </c>
      <c r="K63" s="9" t="n">
        <v>2888993.91</v>
      </c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9" t="s">
        <v>83</v>
      </c>
      <c r="K64" s="9" t="n">
        <v>1309522.04</v>
      </c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9" t="s">
        <v>84</v>
      </c>
      <c r="K65" s="9" t="n">
        <v>663000</v>
      </c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</sheetData>
  <mergeCells count="6">
    <mergeCell ref="B2:K2"/>
    <mergeCell ref="B4:C4"/>
    <mergeCell ref="D4:E4"/>
    <mergeCell ref="F4:G4"/>
    <mergeCell ref="H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7F00"/>
    <pageSetUpPr fitToPage="false"/>
  </sheetPr>
  <dimension ref="A1:M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34.5" hidden="false" customHeight="true" outlineLevel="0" collapsed="false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1.75" hidden="false" customHeight="true" outlineLevel="0" collapsed="false">
      <c r="A3" s="11" t="s">
        <v>86</v>
      </c>
      <c r="B3" s="11"/>
      <c r="C3" s="11"/>
      <c r="D3" s="1"/>
      <c r="E3" s="11" t="s">
        <v>87</v>
      </c>
      <c r="F3" s="11"/>
      <c r="G3" s="11"/>
      <c r="H3" s="1"/>
      <c r="I3" s="11" t="s">
        <v>88</v>
      </c>
      <c r="J3" s="11"/>
      <c r="K3" s="1"/>
      <c r="L3" s="1"/>
      <c r="M3" s="1"/>
    </row>
    <row r="4" customFormat="false" ht="15" hidden="false" customHeight="false" outlineLevel="0" collapsed="false">
      <c r="A4" s="12" t="s">
        <v>9</v>
      </c>
      <c r="B4" s="12" t="s">
        <v>89</v>
      </c>
      <c r="C4" s="12" t="s">
        <v>90</v>
      </c>
      <c r="D4" s="1"/>
      <c r="E4" s="12" t="s">
        <v>10</v>
      </c>
      <c r="F4" s="12" t="s">
        <v>89</v>
      </c>
      <c r="G4" s="12" t="s">
        <v>90</v>
      </c>
      <c r="H4" s="1"/>
      <c r="I4" s="12" t="s">
        <v>67</v>
      </c>
      <c r="J4" s="12" t="s">
        <v>89</v>
      </c>
      <c r="K4" s="1"/>
      <c r="L4" s="1"/>
      <c r="M4" s="1"/>
    </row>
    <row r="5" customFormat="false" ht="15" hidden="false" customHeight="false" outlineLevel="0" collapsed="false">
      <c r="A5" s="13" t="s">
        <v>12</v>
      </c>
      <c r="B5" s="14" t="n">
        <v>10872396.8</v>
      </c>
      <c r="C5" s="14" t="n">
        <v>1169442.96</v>
      </c>
      <c r="D5" s="1"/>
      <c r="E5" s="13" t="s">
        <v>13</v>
      </c>
      <c r="F5" s="14" t="n">
        <v>17113870.94</v>
      </c>
      <c r="G5" s="14" t="n">
        <v>1834155.44</v>
      </c>
      <c r="H5" s="1"/>
      <c r="I5" s="13" t="s">
        <v>70</v>
      </c>
      <c r="J5" s="14" t="n">
        <v>6929653.69</v>
      </c>
      <c r="K5" s="1"/>
      <c r="L5" s="1"/>
      <c r="M5" s="1"/>
    </row>
    <row r="6" customFormat="false" ht="15" hidden="false" customHeight="false" outlineLevel="0" collapsed="false">
      <c r="A6" s="15" t="s">
        <v>15</v>
      </c>
      <c r="B6" s="16" t="n">
        <v>10277612.84</v>
      </c>
      <c r="C6" s="16" t="n">
        <v>1123321.61</v>
      </c>
      <c r="D6" s="1"/>
      <c r="E6" s="15" t="s">
        <v>16</v>
      </c>
      <c r="F6" s="16" t="n">
        <v>7976255.34</v>
      </c>
      <c r="G6" s="16" t="n">
        <v>881882.93</v>
      </c>
      <c r="H6" s="1"/>
      <c r="I6" s="15" t="s">
        <v>73</v>
      </c>
      <c r="J6" s="16" t="n">
        <v>4431942.78</v>
      </c>
      <c r="K6" s="1"/>
      <c r="L6" s="1"/>
      <c r="M6" s="1"/>
    </row>
    <row r="7" customFormat="false" ht="15" hidden="false" customHeight="false" outlineLevel="0" collapsed="false">
      <c r="A7" s="13" t="s">
        <v>18</v>
      </c>
      <c r="B7" s="14" t="n">
        <v>8273743.74</v>
      </c>
      <c r="C7" s="14" t="n">
        <v>857753.44</v>
      </c>
      <c r="D7" s="1"/>
      <c r="E7" s="13" t="s">
        <v>19</v>
      </c>
      <c r="F7" s="14" t="n">
        <v>4609028.24</v>
      </c>
      <c r="G7" s="14" t="n">
        <v>497523.56</v>
      </c>
      <c r="H7" s="1"/>
      <c r="I7" s="13" t="s">
        <v>76</v>
      </c>
      <c r="J7" s="14" t="n">
        <v>4118425.57</v>
      </c>
      <c r="K7" s="1"/>
      <c r="L7" s="1"/>
      <c r="M7" s="1"/>
    </row>
    <row r="8" customFormat="false" ht="15" hidden="false" customHeight="false" outlineLevel="0" collapsed="false">
      <c r="A8" s="15" t="s">
        <v>21</v>
      </c>
      <c r="B8" s="16" t="n">
        <v>5066528.71</v>
      </c>
      <c r="C8" s="16" t="n">
        <v>564313.78</v>
      </c>
      <c r="D8" s="1"/>
      <c r="E8" s="15" t="s">
        <v>22</v>
      </c>
      <c r="F8" s="16" t="n">
        <v>4006498.77</v>
      </c>
      <c r="G8" s="16" t="n">
        <v>410222.5</v>
      </c>
      <c r="H8" s="1"/>
      <c r="I8" s="15" t="s">
        <v>78</v>
      </c>
      <c r="J8" s="16" t="n">
        <v>3694843.2</v>
      </c>
      <c r="K8" s="1"/>
      <c r="L8" s="1"/>
      <c r="M8" s="1"/>
    </row>
    <row r="9" customFormat="false" ht="15" hidden="false" customHeight="false" outlineLevel="0" collapsed="false">
      <c r="A9" s="13" t="s">
        <v>24</v>
      </c>
      <c r="B9" s="14" t="n">
        <v>2294452.93</v>
      </c>
      <c r="C9" s="14" t="n">
        <v>252071.18</v>
      </c>
      <c r="D9" s="1"/>
      <c r="E9" s="13" t="s">
        <v>25</v>
      </c>
      <c r="F9" s="14" t="n">
        <v>1253351.45</v>
      </c>
      <c r="G9" s="14" t="n">
        <v>145251.46</v>
      </c>
      <c r="H9" s="1"/>
      <c r="I9" s="13" t="s">
        <v>79</v>
      </c>
      <c r="J9" s="14" t="n">
        <v>3147800</v>
      </c>
      <c r="K9" s="1"/>
      <c r="L9" s="1"/>
      <c r="M9" s="1"/>
    </row>
    <row r="10" customFormat="false" ht="15" hidden="false" customHeight="false" outlineLevel="0" collapsed="false">
      <c r="A10" s="1"/>
      <c r="B10" s="1"/>
      <c r="C10" s="1"/>
      <c r="D10" s="1"/>
      <c r="E10" s="15" t="s">
        <v>27</v>
      </c>
      <c r="F10" s="16" t="n">
        <v>1039598.97</v>
      </c>
      <c r="G10" s="16" t="n">
        <v>113170.01</v>
      </c>
      <c r="H10" s="1"/>
      <c r="I10" s="15" t="s">
        <v>80</v>
      </c>
      <c r="J10" s="16" t="n">
        <v>3113844.68</v>
      </c>
      <c r="K10" s="1"/>
      <c r="L10" s="1"/>
      <c r="M10" s="1"/>
    </row>
    <row r="11" customFormat="false" ht="15" hidden="false" customHeight="false" outlineLevel="0" collapsed="false">
      <c r="A11" s="1"/>
      <c r="B11" s="1"/>
      <c r="C11" s="1"/>
      <c r="D11" s="1"/>
      <c r="E11" s="13" t="s">
        <v>29</v>
      </c>
      <c r="F11" s="14" t="n">
        <v>397050.89</v>
      </c>
      <c r="G11" s="14" t="n">
        <v>46538.06</v>
      </c>
      <c r="H11" s="1"/>
      <c r="I11" s="13" t="s">
        <v>81</v>
      </c>
      <c r="J11" s="14" t="n">
        <v>2891757.66</v>
      </c>
      <c r="K11" s="1"/>
      <c r="L11" s="1"/>
      <c r="M11" s="1"/>
    </row>
    <row r="12" customFormat="false" ht="15" hidden="false" customHeight="false" outlineLevel="0" collapsed="false">
      <c r="A12" s="1"/>
      <c r="B12" s="1"/>
      <c r="C12" s="1"/>
      <c r="D12" s="1"/>
      <c r="E12" s="15" t="s">
        <v>31</v>
      </c>
      <c r="F12" s="16" t="n">
        <v>228887.73</v>
      </c>
      <c r="G12" s="16" t="n">
        <v>24193.12</v>
      </c>
      <c r="H12" s="1"/>
      <c r="I12" s="15" t="s">
        <v>82</v>
      </c>
      <c r="J12" s="16" t="n">
        <v>2888993.91</v>
      </c>
      <c r="K12" s="1"/>
      <c r="L12" s="1"/>
      <c r="M12" s="1"/>
    </row>
    <row r="13" customFormat="false" ht="15" hidden="false" customHeight="false" outlineLevel="0" collapsed="false">
      <c r="A13" s="1"/>
      <c r="B13" s="1"/>
      <c r="C13" s="1"/>
      <c r="D13" s="1"/>
      <c r="E13" s="13" t="s">
        <v>33</v>
      </c>
      <c r="F13" s="14" t="n">
        <v>106080.48</v>
      </c>
      <c r="G13" s="14" t="n">
        <v>9493.63</v>
      </c>
      <c r="H13" s="1"/>
      <c r="I13" s="13" t="s">
        <v>83</v>
      </c>
      <c r="J13" s="14" t="n">
        <v>1309522.04</v>
      </c>
      <c r="K13" s="1"/>
      <c r="L13" s="1"/>
      <c r="M13" s="1"/>
    </row>
    <row r="14" customFormat="false" ht="15" hidden="false" customHeight="false" outlineLevel="0" collapsed="false">
      <c r="A14" s="1"/>
      <c r="B14" s="1"/>
      <c r="C14" s="1"/>
      <c r="D14" s="1"/>
      <c r="E14" s="15" t="s">
        <v>35</v>
      </c>
      <c r="F14" s="16" t="n">
        <v>41524.8</v>
      </c>
      <c r="G14" s="16" t="n">
        <v>3589.26</v>
      </c>
      <c r="H14" s="1"/>
      <c r="I14" s="15" t="s">
        <v>84</v>
      </c>
      <c r="J14" s="16" t="n">
        <v>663000</v>
      </c>
      <c r="K14" s="1"/>
      <c r="L14" s="1"/>
      <c r="M14" s="1"/>
    </row>
    <row r="15" customFormat="false" ht="15" hidden="false" customHeight="false" outlineLevel="0" collapsed="false">
      <c r="A15" s="1"/>
      <c r="B15" s="1"/>
      <c r="C15" s="1"/>
      <c r="D15" s="1"/>
      <c r="E15" s="13" t="s">
        <v>37</v>
      </c>
      <c r="F15" s="14" t="n">
        <v>12587.4</v>
      </c>
      <c r="G15" s="14" t="n">
        <v>883.01</v>
      </c>
      <c r="H15" s="1"/>
      <c r="I15" s="1"/>
      <c r="J15" s="1"/>
      <c r="K15" s="1"/>
      <c r="L15" s="1"/>
      <c r="M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customFormat="false" ht="21.75" hidden="false" customHeight="true" outlineLevel="0" collapsed="false">
      <c r="A20" s="11" t="s">
        <v>64</v>
      </c>
      <c r="B20" s="11"/>
      <c r="C20" s="1"/>
      <c r="D20" s="11" t="s">
        <v>91</v>
      </c>
      <c r="E20" s="11"/>
      <c r="F20" s="1"/>
      <c r="G20" s="11" t="s">
        <v>92</v>
      </c>
      <c r="H20" s="11"/>
      <c r="I20" s="1"/>
      <c r="J20" s="11" t="s">
        <v>93</v>
      </c>
      <c r="K20" s="11"/>
      <c r="L20" s="1"/>
      <c r="M20" s="1"/>
    </row>
    <row r="21" customFormat="false" ht="15" hidden="false" customHeight="false" outlineLevel="0" collapsed="false">
      <c r="A21" s="12" t="s">
        <v>94</v>
      </c>
      <c r="B21" s="12" t="s">
        <v>65</v>
      </c>
      <c r="C21" s="1"/>
      <c r="D21" s="12" t="s">
        <v>95</v>
      </c>
      <c r="E21" s="12" t="s">
        <v>65</v>
      </c>
      <c r="F21" s="1"/>
      <c r="G21" s="12" t="s">
        <v>66</v>
      </c>
      <c r="H21" s="12" t="s">
        <v>89</v>
      </c>
      <c r="I21" s="1"/>
      <c r="J21" s="12" t="s">
        <v>96</v>
      </c>
      <c r="K21" s="12" t="s">
        <v>89</v>
      </c>
      <c r="L21" s="1"/>
      <c r="M21" s="1"/>
    </row>
    <row r="22" customFormat="false" ht="15" hidden="false" customHeight="false" outlineLevel="0" collapsed="false">
      <c r="A22" s="13" t="s">
        <v>68</v>
      </c>
      <c r="B22" s="13" t="n">
        <v>98977</v>
      </c>
      <c r="C22" s="1"/>
      <c r="D22" s="13" t="s">
        <v>97</v>
      </c>
      <c r="E22" s="13" t="n">
        <v>107752</v>
      </c>
      <c r="F22" s="1"/>
      <c r="G22" s="13" t="s">
        <v>69</v>
      </c>
      <c r="H22" s="14" t="n">
        <v>19095790.16</v>
      </c>
      <c r="I22" s="1"/>
      <c r="J22" s="13" t="s">
        <v>98</v>
      </c>
      <c r="K22" s="14" t="n">
        <v>5894380.77</v>
      </c>
      <c r="L22" s="1"/>
      <c r="M22" s="1"/>
    </row>
    <row r="23" customFormat="false" ht="15" hidden="false" customHeight="false" outlineLevel="0" collapsed="false">
      <c r="A23" s="15" t="s">
        <v>71</v>
      </c>
      <c r="B23" s="15" t="n">
        <v>41592</v>
      </c>
      <c r="C23" s="1"/>
      <c r="D23" s="15" t="s">
        <v>99</v>
      </c>
      <c r="E23" s="15" t="n">
        <v>35216</v>
      </c>
      <c r="F23" s="1"/>
      <c r="G23" s="15" t="s">
        <v>72</v>
      </c>
      <c r="H23" s="16" t="n">
        <v>11168406.84</v>
      </c>
      <c r="I23" s="1"/>
      <c r="J23" s="15" t="s">
        <v>100</v>
      </c>
      <c r="K23" s="16" t="n">
        <v>5665712.1</v>
      </c>
      <c r="L23" s="1"/>
      <c r="M23" s="1"/>
    </row>
    <row r="24" customFormat="false" ht="15" hidden="false" customHeight="false" outlineLevel="0" collapsed="false">
      <c r="A24" s="13" t="s">
        <v>74</v>
      </c>
      <c r="B24" s="13" t="n">
        <v>32196</v>
      </c>
      <c r="C24" s="1"/>
      <c r="D24" s="13" t="s">
        <v>101</v>
      </c>
      <c r="E24" s="13" t="n">
        <v>27814</v>
      </c>
      <c r="F24" s="1"/>
      <c r="G24" s="13" t="s">
        <v>75</v>
      </c>
      <c r="H24" s="14" t="n">
        <v>6520538.02</v>
      </c>
      <c r="I24" s="1"/>
      <c r="J24" s="13" t="s">
        <v>102</v>
      </c>
      <c r="K24" s="14" t="n">
        <v>2960881.41</v>
      </c>
      <c r="L24" s="1"/>
      <c r="M24" s="1"/>
    </row>
    <row r="25" customFormat="false" ht="15" hidden="false" customHeight="false" outlineLevel="0" collapsed="false">
      <c r="A25" s="15" t="s">
        <v>77</v>
      </c>
      <c r="B25" s="15" t="n">
        <v>7754</v>
      </c>
      <c r="C25" s="1"/>
      <c r="D25" s="15" t="s">
        <v>103</v>
      </c>
      <c r="E25" s="15" t="n">
        <v>9737</v>
      </c>
      <c r="F25" s="1"/>
      <c r="G25" s="1"/>
      <c r="H25" s="1"/>
      <c r="I25" s="1"/>
      <c r="J25" s="15" t="s">
        <v>104</v>
      </c>
      <c r="K25" s="16" t="n">
        <v>2155830.65</v>
      </c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3" t="s">
        <v>105</v>
      </c>
      <c r="K26" s="14" t="n">
        <v>2047918.82</v>
      </c>
      <c r="L26" s="1"/>
      <c r="M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5" t="s">
        <v>106</v>
      </c>
      <c r="K27" s="16" t="n">
        <v>2016654.2</v>
      </c>
      <c r="L27" s="1"/>
      <c r="M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3" t="s">
        <v>107</v>
      </c>
      <c r="K28" s="14" t="n">
        <v>1932495.57</v>
      </c>
      <c r="L28" s="1"/>
      <c r="M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5" t="s">
        <v>108</v>
      </c>
      <c r="K29" s="16" t="n">
        <v>1651019.33</v>
      </c>
      <c r="L29" s="1"/>
      <c r="M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3" t="s">
        <v>109</v>
      </c>
      <c r="K30" s="14" t="n">
        <v>1571415.96</v>
      </c>
      <c r="L30" s="1"/>
      <c r="M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5" t="s">
        <v>110</v>
      </c>
      <c r="K31" s="16" t="n">
        <v>1553680.92</v>
      </c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</sheetData>
  <mergeCells count="8">
    <mergeCell ref="A1:M1"/>
    <mergeCell ref="A3:C3"/>
    <mergeCell ref="E3:G3"/>
    <mergeCell ref="I3:J3"/>
    <mergeCell ref="A20:B20"/>
    <mergeCell ref="D20:E20"/>
    <mergeCell ref="G20:H20"/>
    <mergeCell ref="J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C653"/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8"/>
  </cols>
  <sheetData>
    <row r="1" customFormat="false" ht="37.5" hidden="false" customHeight="true" outlineLevel="0" collapsed="false">
      <c r="A1" s="17" t="s">
        <v>111</v>
      </c>
      <c r="B1" s="17"/>
      <c r="C1" s="17"/>
      <c r="D1" s="17"/>
      <c r="E1" s="17"/>
      <c r="F1" s="17"/>
      <c r="G1" s="17"/>
      <c r="H1" s="17"/>
      <c r="I1" s="17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A3" s="1"/>
      <c r="B3" s="18" t="s">
        <v>112</v>
      </c>
      <c r="C3" s="18"/>
      <c r="D3" s="18"/>
      <c r="E3" s="18"/>
      <c r="F3" s="18"/>
      <c r="G3" s="18"/>
      <c r="H3" s="18"/>
      <c r="I3" s="18"/>
    </row>
    <row r="4" customFormat="false" ht="25.5" hidden="false" customHeight="true" outlineLevel="0" collapsed="false">
      <c r="A4" s="1"/>
      <c r="B4" s="19" t="s">
        <v>113</v>
      </c>
      <c r="C4" s="19"/>
      <c r="D4" s="19"/>
      <c r="E4" s="19"/>
      <c r="F4" s="19"/>
      <c r="G4" s="19"/>
      <c r="H4" s="19"/>
      <c r="I4" s="19"/>
    </row>
    <row r="5" customFormat="false" ht="25.5" hidden="false" customHeight="true" outlineLevel="0" collapsed="false">
      <c r="A5" s="1"/>
      <c r="B5" s="19"/>
      <c r="C5" s="19"/>
      <c r="D5" s="19"/>
      <c r="E5" s="19"/>
      <c r="F5" s="19"/>
      <c r="G5" s="19"/>
      <c r="H5" s="19"/>
      <c r="I5" s="19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24" hidden="false" customHeight="true" outlineLevel="0" collapsed="false">
      <c r="A9" s="1"/>
      <c r="B9" s="20" t="s">
        <v>114</v>
      </c>
      <c r="C9" s="20"/>
      <c r="D9" s="20"/>
      <c r="E9" s="20"/>
      <c r="F9" s="20"/>
      <c r="G9" s="20"/>
      <c r="H9" s="20"/>
      <c r="I9" s="20"/>
    </row>
    <row r="10" customFormat="false" ht="25.5" hidden="false" customHeight="true" outlineLevel="0" collapsed="false">
      <c r="A10" s="1"/>
      <c r="B10" s="19" t="s">
        <v>115</v>
      </c>
      <c r="C10" s="19"/>
      <c r="D10" s="19"/>
      <c r="E10" s="19"/>
      <c r="F10" s="19"/>
      <c r="G10" s="19"/>
      <c r="H10" s="19"/>
      <c r="I10" s="19"/>
    </row>
    <row r="11" customFormat="false" ht="25.5" hidden="false" customHeight="true" outlineLevel="0" collapsed="false">
      <c r="A11" s="1"/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24" hidden="false" customHeight="true" outlineLevel="0" collapsed="false">
      <c r="A15" s="1"/>
      <c r="B15" s="21" t="s">
        <v>116</v>
      </c>
      <c r="C15" s="21"/>
      <c r="D15" s="21"/>
      <c r="E15" s="21"/>
      <c r="F15" s="21"/>
      <c r="G15" s="21"/>
      <c r="H15" s="21"/>
      <c r="I15" s="21"/>
    </row>
    <row r="16" customFormat="false" ht="25.5" hidden="false" customHeight="true" outlineLevel="0" collapsed="false">
      <c r="A16" s="1"/>
      <c r="B16" s="19" t="s">
        <v>117</v>
      </c>
      <c r="C16" s="19"/>
      <c r="D16" s="19"/>
      <c r="E16" s="19"/>
      <c r="F16" s="19"/>
      <c r="G16" s="19"/>
      <c r="H16" s="19"/>
      <c r="I16" s="19"/>
    </row>
    <row r="17" customFormat="false" ht="25.5" hidden="false" customHeight="true" outlineLevel="0" collapsed="false">
      <c r="A17" s="1"/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24" hidden="false" customHeight="true" outlineLevel="0" collapsed="false">
      <c r="A21" s="1"/>
      <c r="B21" s="22" t="s">
        <v>118</v>
      </c>
      <c r="C21" s="22"/>
      <c r="D21" s="22"/>
      <c r="E21" s="22"/>
      <c r="F21" s="22"/>
      <c r="G21" s="22"/>
      <c r="H21" s="22"/>
      <c r="I21" s="22"/>
    </row>
    <row r="22" customFormat="false" ht="25.5" hidden="false" customHeight="true" outlineLevel="0" collapsed="false">
      <c r="A22" s="1"/>
      <c r="B22" s="19" t="s">
        <v>119</v>
      </c>
      <c r="C22" s="19"/>
      <c r="D22" s="19"/>
      <c r="E22" s="19"/>
      <c r="F22" s="19"/>
      <c r="G22" s="19"/>
      <c r="H22" s="19"/>
      <c r="I22" s="19"/>
    </row>
    <row r="23" customFormat="false" ht="25.5" hidden="false" customHeight="true" outlineLevel="0" collapsed="false">
      <c r="A23" s="1"/>
      <c r="B23" s="19"/>
      <c r="C23" s="19"/>
      <c r="D23" s="19"/>
      <c r="E23" s="19"/>
      <c r="F23" s="19"/>
      <c r="G23" s="19"/>
      <c r="H23" s="19"/>
      <c r="I23" s="19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24" hidden="false" customHeight="true" outlineLevel="0" collapsed="false">
      <c r="A27" s="1"/>
      <c r="B27" s="23" t="s">
        <v>120</v>
      </c>
      <c r="C27" s="23"/>
      <c r="D27" s="23"/>
      <c r="E27" s="23"/>
      <c r="F27" s="23"/>
      <c r="G27" s="23"/>
      <c r="H27" s="23"/>
      <c r="I27" s="23"/>
    </row>
    <row r="28" customFormat="false" ht="25.5" hidden="false" customHeight="true" outlineLevel="0" collapsed="false">
      <c r="A28" s="1"/>
      <c r="B28" s="19" t="s">
        <v>121</v>
      </c>
      <c r="C28" s="19"/>
      <c r="D28" s="19"/>
      <c r="E28" s="19"/>
      <c r="F28" s="19"/>
      <c r="G28" s="19"/>
      <c r="H28" s="19"/>
      <c r="I28" s="19"/>
    </row>
    <row r="29" customFormat="false" ht="25.5" hidden="false" customHeight="true" outlineLevel="0" collapsed="false">
      <c r="A29" s="1"/>
      <c r="B29" s="19"/>
      <c r="C29" s="19"/>
      <c r="D29" s="19"/>
      <c r="E29" s="19"/>
      <c r="F29" s="19"/>
      <c r="G29" s="19"/>
      <c r="H29" s="19"/>
      <c r="I29" s="19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24" hidden="false" customHeight="true" outlineLevel="0" collapsed="false">
      <c r="A33" s="1"/>
      <c r="B33" s="18" t="s">
        <v>122</v>
      </c>
      <c r="C33" s="18"/>
      <c r="D33" s="18"/>
      <c r="E33" s="18"/>
      <c r="F33" s="18"/>
      <c r="G33" s="18"/>
      <c r="H33" s="18"/>
      <c r="I33" s="18"/>
    </row>
    <row r="34" customFormat="false" ht="25.5" hidden="false" customHeight="true" outlineLevel="0" collapsed="false">
      <c r="A34" s="1"/>
      <c r="B34" s="19" t="s">
        <v>123</v>
      </c>
      <c r="C34" s="19"/>
      <c r="D34" s="19"/>
      <c r="E34" s="19"/>
      <c r="F34" s="19"/>
      <c r="G34" s="19"/>
      <c r="H34" s="19"/>
      <c r="I34" s="19"/>
    </row>
    <row r="35" customFormat="false" ht="25.5" hidden="false" customHeight="true" outlineLevel="0" collapsed="false">
      <c r="A35" s="1"/>
      <c r="B35" s="19"/>
      <c r="C35" s="19"/>
      <c r="D35" s="19"/>
      <c r="E35" s="19"/>
      <c r="F35" s="19"/>
      <c r="G35" s="19"/>
      <c r="H35" s="19"/>
      <c r="I35" s="19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24" hidden="false" customHeight="true" outlineLevel="0" collapsed="false">
      <c r="A39" s="1"/>
      <c r="B39" s="20" t="s">
        <v>124</v>
      </c>
      <c r="C39" s="20"/>
      <c r="D39" s="20"/>
      <c r="E39" s="20"/>
      <c r="F39" s="20"/>
      <c r="G39" s="20"/>
      <c r="H39" s="20"/>
      <c r="I39" s="20"/>
    </row>
    <row r="40" customFormat="false" ht="25.5" hidden="false" customHeight="true" outlineLevel="0" collapsed="false">
      <c r="A40" s="1"/>
      <c r="B40" s="19" t="s">
        <v>125</v>
      </c>
      <c r="C40" s="19"/>
      <c r="D40" s="19"/>
      <c r="E40" s="19"/>
      <c r="F40" s="19"/>
      <c r="G40" s="19"/>
      <c r="H40" s="19"/>
      <c r="I40" s="19"/>
    </row>
    <row r="41" customFormat="false" ht="25.5" hidden="false" customHeight="true" outlineLevel="0" collapsed="false">
      <c r="A41" s="1"/>
      <c r="B41" s="19"/>
      <c r="C41" s="19"/>
      <c r="D41" s="19"/>
      <c r="E41" s="19"/>
      <c r="F41" s="19"/>
      <c r="G41" s="19"/>
      <c r="H41" s="19"/>
      <c r="I41" s="19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24" hidden="false" customHeight="true" outlineLevel="0" collapsed="false">
      <c r="A45" s="1"/>
      <c r="B45" s="23" t="s">
        <v>126</v>
      </c>
      <c r="C45" s="23"/>
      <c r="D45" s="23"/>
      <c r="E45" s="23"/>
      <c r="F45" s="23"/>
      <c r="G45" s="23"/>
      <c r="H45" s="23"/>
      <c r="I45" s="23"/>
    </row>
    <row r="46" customFormat="false" ht="25.5" hidden="false" customHeight="true" outlineLevel="0" collapsed="false">
      <c r="A46" s="1"/>
      <c r="B46" s="19" t="s">
        <v>127</v>
      </c>
      <c r="C46" s="19"/>
      <c r="D46" s="19"/>
      <c r="E46" s="19"/>
      <c r="F46" s="19"/>
      <c r="G46" s="19"/>
      <c r="H46" s="19"/>
      <c r="I46" s="19"/>
    </row>
    <row r="47" customFormat="false" ht="25.5" hidden="false" customHeight="true" outlineLevel="0" collapsed="false">
      <c r="A47" s="1"/>
      <c r="B47" s="19"/>
      <c r="C47" s="19"/>
      <c r="D47" s="19"/>
      <c r="E47" s="19"/>
      <c r="F47" s="19"/>
      <c r="G47" s="19"/>
      <c r="H47" s="19"/>
      <c r="I47" s="19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</sheetData>
  <mergeCells count="17">
    <mergeCell ref="A1:I1"/>
    <mergeCell ref="B3:I3"/>
    <mergeCell ref="B4:I5"/>
    <mergeCell ref="B9:I9"/>
    <mergeCell ref="B10:I11"/>
    <mergeCell ref="B15:I15"/>
    <mergeCell ref="B16:I17"/>
    <mergeCell ref="B21:I21"/>
    <mergeCell ref="B22:I23"/>
    <mergeCell ref="B27:I27"/>
    <mergeCell ref="B28:I29"/>
    <mergeCell ref="B33:I33"/>
    <mergeCell ref="B34:I35"/>
    <mergeCell ref="B39:I39"/>
    <mergeCell ref="B40:I41"/>
    <mergeCell ref="B45:I45"/>
    <mergeCell ref="B46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2026-06-03T10:45:11Z</dcterms:created>
  <dc:creator>openpyxl</dc:creator>
  <dc:description/>
  <dc:language>en-US</dc:language>
  <cp:lastModifiedBy/>
  <dcterms:modified xsi:type="dcterms:W3CDTF">2026-06-03T10:45:18Z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